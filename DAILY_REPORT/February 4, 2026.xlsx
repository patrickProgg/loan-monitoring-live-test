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<sst xmlns="http://schemas.openxmlformats.org/spreadsheetml/2006/main" uniqueCount="35">
  <si>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February 4, 2026</t>
  </si>
  <si>
    <t>AREA 4'-Payment</t>
  </si>
  <si>
    <t>Savings</t>
  </si>
  <si>
    <t>Processing Fee</t>
  </si>
  <si>
    <t>EXCESS</t>
  </si>
  <si>
    <t>T O T A L - C P</t>
  </si>
  <si>
    <t>LESS : E X P E N S E S</t>
  </si>
  <si>
    <t>Savings Withdrawal</t>
  </si>
  <si>
    <t>Gas for motor mio</t>
  </si>
  <si>
    <t>RELEASED C/O REMITTANCE</t>
  </si>
  <si>
    <t>change oil jason</t>
  </si>
  <si>
    <t>T O T A L E X P E N S E S</t>
  </si>
  <si>
    <t>Collector's Cash Remitt</t>
  </si>
  <si>
    <t>02/04/2026</t>
  </si>
  <si>
    <t>Ending Cash on Hand</t>
  </si>
  <si>
    <t>01/29/2026</t>
  </si>
  <si>
    <t>TOTAL MONEY</t>
  </si>
  <si>
    <t>LESS(RELEASED)</t>
  </si>
  <si>
    <t>Date</t>
  </si>
  <si>
    <t>Name</t>
  </si>
  <si>
    <t>Amount</t>
  </si>
  <si>
    <t>RP LENDING SERVICES</t>
  </si>
  <si>
    <t>Patrick Henry Bersaluna</t>
  </si>
  <si>
    <t>Area 4</t>
  </si>
  <si>
    <t>test</t>
  </si>
  <si>
    <t>CASH ONHAND</t>
  </si>
  <si>
    <t>CASH COUNT</t>
  </si>
  <si>
    <t>NO. OF PIECE</t>
  </si>
  <si>
    <t>DENOMINATION</t>
  </si>
  <si>
    <t>AMOUNT</t>
  </si>
  <si>
    <t>TOTAL RELEASED</t>
  </si>
  <si>
    <t>LESS(WITHDRAWAL)</t>
  </si>
  <si>
    <t>TOTAL WITHDRAW</t>
  </si>
  <si>
    <t>T O T A L</t>
  </si>
  <si>
    <t>ENDING CASH ONHAND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</si>
</sst>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ECF50"/>
        <bgColor rgb="FF000000"/>
      </patternFill>
    </fill>
    <fill>
      <patternFill patternType="solid">
        <fgColor rgb="FFFF66CC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4" fillId="0" borderId="7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2" numFmtId="4" fillId="0" borderId="7" applyFont="1" applyNumberFormat="1" applyFill="0" applyBorder="1" applyAlignment="1">
      <alignment horizontal="center" vertical="bottom" textRotation="0" wrapText="false" shrinkToFit="false"/>
    </xf>
    <xf xfId="0" fontId="1" numFmtId="4" fillId="0" borderId="7" applyFont="1" applyNumberFormat="1" applyFill="0" applyBorder="1" applyAlignment="1">
      <alignment horizontal="center" vertical="bottom" textRotation="0" wrapText="false" shrinkToFit="false"/>
    </xf>
    <xf xfId="0" fontId="2" numFmtId="4" fillId="3" borderId="7" applyFont="1" applyNumberFormat="1" applyFill="1" applyBorder="1" applyAlignment="1">
      <alignment horizontal="center" vertical="bottom" textRotation="0" wrapText="false" shrinkToFit="false"/>
    </xf>
    <xf xfId="0" fontId="0" numFmtId="4" fillId="0" borderId="8" applyFont="0" applyNumberFormat="1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0"/>
    <xf xfId="0" fontId="0" numFmtId="164" fillId="0" borderId="9" applyFont="0" applyNumberFormat="1" applyFill="0" applyBorder="1" applyAlignment="1">
      <alignment horizontal="center" vertical="bottom" textRotation="0" wrapText="false" shrinkToFit="false"/>
    </xf>
    <xf xfId="0" fontId="0" numFmtId="164" fillId="0" borderId="9" applyFont="0" applyNumberFormat="1" applyFill="0" applyBorder="1" applyAlignment="0"/>
    <xf xfId="0" fontId="0" numFmtId="4" fillId="0" borderId="9" applyFont="0" applyNumberFormat="1" applyFill="0" applyBorder="1" applyAlignment="1">
      <alignment horizontal="center" vertical="bottom" textRotation="0" wrapText="false" shrinkToFit="false"/>
    </xf>
    <xf xfId="0" fontId="0" numFmtId="4" fillId="0" borderId="9" applyFont="0" applyNumberFormat="1" applyFill="0" applyBorder="1" applyAlignment="0"/>
    <xf xfId="0" fontId="2" numFmtId="0" fillId="0" borderId="10" applyFont="1" applyNumberFormat="0" applyFill="0" applyBorder="1" applyAlignment="0"/>
    <xf xfId="0" fontId="0" numFmtId="0" fillId="0" borderId="11" applyFont="0" applyNumberFormat="0" applyFill="0" applyBorder="1" applyAlignment="0"/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4" fillId="3" borderId="12" applyFont="1" applyNumberFormat="1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4" fillId="0" borderId="10" applyFont="0" applyNumberFormat="1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8"/>
  <sheetViews>
    <sheetView tabSelected="1" workbookViewId="0" showGridLines="true" showRowColHeaders="1">
      <selection activeCell="I37" sqref="I37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1"/>
    <col min="6" max="6" width="15" customWidth="true" style="0"/>
    <col min="7" max="7" width="13" customWidth="true" style="0"/>
    <col min="8" max="8" width="17" customWidth="true" style="0"/>
    <col min="9" max="9" width="15" customWidth="true" style="0"/>
    <col min="10" max="10" width="15" customWidth="true" style="0"/>
  </cols>
  <sheetData>
    <row r="1" spans="1:10">
      <c r="A1" s="3" t="s">
        <v>0</v>
      </c>
      <c r="B1" s="9"/>
      <c r="C1" s="9"/>
      <c r="D1" s="10"/>
      <c r="E1" s="13"/>
    </row>
    <row r="2" spans="1:10">
      <c r="A2" s="4" t="s">
        <v>1</v>
      </c>
      <c r="B2" s="1"/>
      <c r="C2" s="1"/>
      <c r="E2" s="14">
        <v>7854.0</v>
      </c>
    </row>
    <row r="3" spans="1:10">
      <c r="A3" s="5" t="s">
        <v>2</v>
      </c>
      <c r="B3" s="1"/>
      <c r="C3" s="1"/>
      <c r="E3" s="14">
        <v>420.0</v>
      </c>
    </row>
    <row r="4" spans="1:10">
      <c r="A4" s="5" t="s">
        <v>3</v>
      </c>
      <c r="B4" s="1"/>
      <c r="C4" s="1"/>
      <c r="E4" s="15"/>
    </row>
    <row r="5" spans="1:10">
      <c r="A5" s="5" t="s">
        <v>4</v>
      </c>
      <c r="B5" s="1"/>
      <c r="C5" s="1"/>
      <c r="E5" s="14">
        <v>20</v>
      </c>
    </row>
    <row r="6" spans="1:10">
      <c r="A6" s="4" t="s">
        <v>5</v>
      </c>
      <c r="B6" s="1"/>
      <c r="C6" s="1"/>
      <c r="E6" s="16">
        <v>8294.0</v>
      </c>
    </row>
    <row r="7" spans="1:10">
      <c r="A7" s="6" t="s">
        <v>6</v>
      </c>
      <c r="B7" s="1"/>
      <c r="C7" s="1"/>
      <c r="E7" s="15"/>
    </row>
    <row r="8" spans="1:10">
      <c r="A8" s="5" t="s">
        <v>7</v>
      </c>
      <c r="B8" s="1"/>
      <c r="C8" s="1"/>
      <c r="E8" s="14"/>
    </row>
    <row r="9" spans="1:10">
      <c r="A9" s="5" t="s">
        <v>8</v>
      </c>
      <c r="B9" s="1"/>
      <c r="C9" s="1"/>
      <c r="E9" s="17">
        <v>180.0</v>
      </c>
    </row>
    <row r="10" spans="1:10">
      <c r="A10" s="5" t="s">
        <v>9</v>
      </c>
      <c r="B10" s="1"/>
      <c r="C10" s="1"/>
      <c r="E10" s="14"/>
    </row>
    <row r="11" spans="1:10">
      <c r="A11" s="5" t="s">
        <v>10</v>
      </c>
      <c r="B11" s="1"/>
      <c r="C11" s="1"/>
      <c r="E11" s="14"/>
    </row>
    <row r="12" spans="1:10">
      <c r="A12" s="5"/>
      <c r="B12" s="1"/>
      <c r="C12" s="1"/>
      <c r="E12" s="15"/>
    </row>
    <row r="13" spans="1:10">
      <c r="A13" s="5"/>
      <c r="B13" s="1"/>
      <c r="C13" s="1"/>
      <c r="E13" s="15"/>
    </row>
    <row r="14" spans="1:10">
      <c r="A14" s="5"/>
      <c r="B14" s="1"/>
      <c r="C14" s="1"/>
      <c r="E14" s="15"/>
    </row>
    <row r="15" spans="1:10">
      <c r="A15" s="5"/>
      <c r="B15" s="1"/>
      <c r="C15" s="1"/>
      <c r="E15" s="14"/>
    </row>
    <row r="16" spans="1:10">
      <c r="A16" s="6" t="s">
        <v>11</v>
      </c>
      <c r="B16" s="1"/>
      <c r="C16" s="1"/>
      <c r="E16" s="17">
        <v>180.0</v>
      </c>
    </row>
    <row r="17" spans="1:10">
      <c r="A17" s="4" t="s">
        <v>12</v>
      </c>
      <c r="B17" s="1"/>
      <c r="C17" s="1" t="s">
        <v>13</v>
      </c>
      <c r="E17" s="18">
        <v>8114.0</v>
      </c>
    </row>
    <row r="18" spans="1:10">
      <c r="A18" s="4" t="s">
        <v>14</v>
      </c>
      <c r="B18" s="1"/>
      <c r="C18" s="1" t="s">
        <v>15</v>
      </c>
      <c r="E18" s="16">
        <v>4965.5</v>
      </c>
    </row>
    <row r="19" spans="1:10">
      <c r="A19" s="7"/>
      <c r="E19" s="15"/>
    </row>
    <row r="20" spans="1:10">
      <c r="A20" s="4" t="s">
        <v>16</v>
      </c>
      <c r="B20" s="1"/>
      <c r="C20" s="1"/>
      <c r="E20" s="15">
        <v>13079.5</v>
      </c>
    </row>
    <row r="21" spans="1:10">
      <c r="A21" s="8" t="s">
        <v>17</v>
      </c>
      <c r="B21" s="11"/>
      <c r="C21" s="11"/>
      <c r="D21" s="12"/>
      <c r="E21" s="19">
        <v>7100.0</v>
      </c>
    </row>
    <row r="22" spans="1:10">
      <c r="A22" s="45" t="s">
        <v>18</v>
      </c>
      <c r="B22" s="45" t="s">
        <v>19</v>
      </c>
      <c r="C22" s="45"/>
      <c r="D22" s="45" t="s">
        <v>20</v>
      </c>
      <c r="E22" s="46"/>
      <c r="G22" s="33"/>
      <c r="H22" s="35" t="s">
        <v>21</v>
      </c>
      <c r="I22" s="9"/>
      <c r="J22" s="36"/>
    </row>
    <row r="23" spans="1:10">
      <c r="A23" s="21">
        <v>46057.0</v>
      </c>
      <c r="B23" s="20" t="s">
        <v>22</v>
      </c>
      <c r="C23" s="20"/>
      <c r="D23" s="23">
        <v>4700.0</v>
      </c>
      <c r="E23" s="31"/>
      <c r="G23" s="4" t="s">
        <v>23</v>
      </c>
      <c r="J23" s="37"/>
    </row>
    <row r="24" spans="1:10">
      <c r="A24" s="21">
        <v>46057.0</v>
      </c>
      <c r="B24" s="20" t="s">
        <v>24</v>
      </c>
      <c r="C24" s="20"/>
      <c r="D24" s="23">
        <v>2400.0</v>
      </c>
      <c r="E24" s="31"/>
      <c r="G24" s="34" t="s">
        <v>25</v>
      </c>
      <c r="H24" s="11"/>
      <c r="I24" s="11"/>
      <c r="J24" s="38"/>
    </row>
    <row r="25" spans="1:10">
      <c r="A25" s="22"/>
      <c r="B25" s="20"/>
      <c r="C25" s="20"/>
      <c r="D25" s="24"/>
      <c r="E25" s="31"/>
      <c r="G25" s="39" t="s">
        <v>26</v>
      </c>
      <c r="H25" s="9"/>
      <c r="I25" s="9"/>
      <c r="J25" s="13"/>
    </row>
    <row r="26" spans="1:10">
      <c r="A26" s="22"/>
      <c r="B26" s="20"/>
      <c r="C26" s="20"/>
      <c r="D26" s="24"/>
      <c r="E26" s="31"/>
      <c r="G26" s="45" t="s">
        <v>27</v>
      </c>
      <c r="H26" s="45" t="s">
        <v>28</v>
      </c>
      <c r="I26" s="45" t="s">
        <v>29</v>
      </c>
      <c r="J26" s="44"/>
    </row>
    <row r="27" spans="1:10">
      <c r="A27" s="22"/>
      <c r="B27" s="20"/>
      <c r="C27" s="20"/>
      <c r="D27" s="24"/>
      <c r="E27" s="32"/>
      <c r="G27" s="44"/>
      <c r="H27" s="23">
        <v>1000</v>
      </c>
      <c r="I27" s="23" t="str">
        <f>IF(G27="","",G27*H27)</f>
        <v/>
      </c>
      <c r="J27" s="44"/>
    </row>
    <row r="28" spans="1:10">
      <c r="A28" s="1" t="s">
        <v>30</v>
      </c>
      <c r="B28" s="1"/>
      <c r="C28" s="1"/>
      <c r="E28" s="17">
        <v>7100.0</v>
      </c>
      <c r="G28" s="44"/>
      <c r="H28" s="23">
        <v>500</v>
      </c>
      <c r="I28" s="23" t="str">
        <f>IF(G28="","",G28*H28)</f>
        <v/>
      </c>
      <c r="J28" s="44"/>
    </row>
    <row r="29" spans="1:10">
      <c r="A29" s="2" t="s">
        <v>31</v>
      </c>
      <c r="B29" s="1"/>
      <c r="C29" s="1"/>
      <c r="E29" s="15"/>
      <c r="G29" s="44"/>
      <c r="H29" s="23">
        <v>200</v>
      </c>
      <c r="I29" s="23" t="str">
        <f>IF(G29="","",G29*H29)</f>
        <v/>
      </c>
      <c r="J29" s="44"/>
    </row>
    <row r="30" spans="1:10">
      <c r="A30" s="45" t="s">
        <v>18</v>
      </c>
      <c r="B30" s="45" t="s">
        <v>19</v>
      </c>
      <c r="C30" s="45"/>
      <c r="D30" s="45" t="s">
        <v>20</v>
      </c>
      <c r="E30" s="46"/>
      <c r="G30" s="44"/>
      <c r="H30" s="23">
        <v>100</v>
      </c>
      <c r="I30" s="23" t="str">
        <f>IF(G30="","",G30*H30)</f>
        <v/>
      </c>
      <c r="J30" s="44"/>
    </row>
    <row r="31" spans="1:10">
      <c r="A31" s="20"/>
      <c r="B31" s="20"/>
      <c r="C31" s="20"/>
      <c r="D31" s="20"/>
      <c r="E31" s="31"/>
      <c r="G31" s="44"/>
      <c r="H31" s="23">
        <v>50</v>
      </c>
      <c r="I31" s="23" t="str">
        <f>IF(G31="","",G31*H31)</f>
        <v/>
      </c>
      <c r="J31" s="44"/>
    </row>
    <row r="32" spans="1:10">
      <c r="A32" s="20"/>
      <c r="B32" s="20"/>
      <c r="C32" s="20"/>
      <c r="D32" s="20"/>
      <c r="E32" s="31"/>
      <c r="G32" s="44"/>
      <c r="H32" s="23">
        <v>20</v>
      </c>
      <c r="I32" s="23" t="str">
        <f>IF(G32="","",G32*H32)</f>
        <v/>
      </c>
      <c r="J32" s="44"/>
    </row>
    <row r="33" spans="1:10">
      <c r="A33" s="20"/>
      <c r="B33" s="20"/>
      <c r="C33" s="20"/>
      <c r="D33" s="20"/>
      <c r="E33" s="31"/>
      <c r="G33" s="44"/>
      <c r="H33" s="23">
        <v>10</v>
      </c>
      <c r="I33" s="23" t="str">
        <f>IF(G33="","",G33*H33)</f>
        <v/>
      </c>
      <c r="J33" s="44"/>
    </row>
    <row r="34" spans="1:10">
      <c r="A34" s="20"/>
      <c r="B34" s="20"/>
      <c r="C34" s="20"/>
      <c r="D34" s="20"/>
      <c r="E34" s="31"/>
      <c r="G34" s="44"/>
      <c r="H34" s="23">
        <v>5</v>
      </c>
      <c r="I34" s="23" t="str">
        <f>IF(G34="","",G34*H34)</f>
        <v/>
      </c>
      <c r="J34" s="44"/>
    </row>
    <row r="35" spans="1:10">
      <c r="A35" s="20"/>
      <c r="B35" s="20"/>
      <c r="C35" s="20"/>
      <c r="D35" s="20"/>
      <c r="E35" s="32"/>
      <c r="G35" s="44"/>
      <c r="H35" s="23">
        <v>1</v>
      </c>
      <c r="I35" s="23" t="str">
        <f>IF(G35="","",G35*H35)</f>
        <v/>
      </c>
      <c r="J35" s="44"/>
    </row>
    <row r="36" spans="1:10">
      <c r="A36" s="1" t="s">
        <v>32</v>
      </c>
      <c r="B36" s="1"/>
      <c r="C36" s="1"/>
      <c r="E36" s="17">
        <v>5799.5</v>
      </c>
      <c r="G36" s="44"/>
      <c r="H36" s="23">
        <v>0.25</v>
      </c>
      <c r="I36" s="23" t="str">
        <f>IF(G36="","",G36*H36)</f>
        <v/>
      </c>
      <c r="J36" s="44"/>
    </row>
    <row r="37" spans="1:10">
      <c r="A37" s="25"/>
      <c r="B37" s="26"/>
      <c r="C37" s="26"/>
      <c r="D37" s="26"/>
      <c r="E37" s="27"/>
      <c r="G37" s="28" t="s">
        <v>33</v>
      </c>
      <c r="H37" s="40"/>
      <c r="I37" s="41">
        <f>SUM(I27:I36)</f>
        <v>0</v>
      </c>
      <c r="J37" s="40"/>
    </row>
    <row r="38" spans="1:10">
      <c r="A38" s="28" t="s">
        <v>34</v>
      </c>
      <c r="B38" s="29"/>
      <c r="C38" s="29"/>
      <c r="D38" s="26"/>
      <c r="E38" s="30">
        <v>13079.5</v>
      </c>
      <c r="G38" s="42"/>
      <c r="H38" s="26"/>
      <c r="I38" s="26"/>
      <c r="J38" s="43"/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B17"/>
    <mergeCell ref="A18:B18"/>
    <mergeCell ref="A20:C20"/>
    <mergeCell ref="A21:C21"/>
    <mergeCell ref="B22:C22"/>
    <mergeCell ref="B23:C23"/>
    <mergeCell ref="B24:C24"/>
    <mergeCell ref="B25:C25"/>
    <mergeCell ref="B26:C26"/>
    <mergeCell ref="B27:C27"/>
    <mergeCell ref="A28:C28"/>
    <mergeCell ref="A29:C29"/>
    <mergeCell ref="A36:C36"/>
    <mergeCell ref="A38:C38"/>
    <mergeCell ref="G24:J24"/>
    <mergeCell ref="G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H22:I22"/>
    <mergeCell ref="G37:H37"/>
    <mergeCell ref="I37:J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2026-02-02T09:49:13+00:00</dcterms:created>
  <dcterms:modified xsi:type="dcterms:W3CDTF">2026-02-02T09:49:13+00:00</dcterms:modified>
  <dc:title>Untitled Spreadsheet</dc:title>
  <dc:description/>
  <dc:subject/>
  <cp:keywords/>
  <cp:category/>
</cp:coreProperties>
</file>